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cuments\Projects\Quadcopter\"/>
    </mc:Choice>
  </mc:AlternateContent>
  <xr:revisionPtr revIDLastSave="0" documentId="8_{C92217B7-012C-40EF-BD40-DE2944F466A8}" xr6:coauthVersionLast="47" xr6:coauthVersionMax="47" xr10:uidLastSave="{00000000-0000-0000-0000-000000000000}"/>
  <bookViews>
    <workbookView xWindow="2340" yWindow="2340" windowWidth="21600" windowHeight="11295" xr2:uid="{E759A4F3-4F70-4099-9E41-EC494861E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28" i="1"/>
  <c r="C16" i="1"/>
  <c r="C18" i="1"/>
  <c r="C3" i="1"/>
  <c r="C4" i="1"/>
</calcChain>
</file>

<file path=xl/sharedStrings.xml><?xml version="1.0" encoding="utf-8"?>
<sst xmlns="http://schemas.openxmlformats.org/spreadsheetml/2006/main" count="39" uniqueCount="39">
  <si>
    <t>Weight</t>
  </si>
  <si>
    <t>Chassis</t>
  </si>
  <si>
    <t>A2212 1000kV Motors</t>
  </si>
  <si>
    <t>SimonK 30A ESCs</t>
  </si>
  <si>
    <t>14AWG Copper Wire g/m</t>
  </si>
  <si>
    <t>MC7RE Reciever</t>
  </si>
  <si>
    <t>GY-87  Module</t>
  </si>
  <si>
    <t>Bullet Connectors</t>
  </si>
  <si>
    <t>XT-60 Connectors</t>
  </si>
  <si>
    <t>Power Distribution Board</t>
  </si>
  <si>
    <t>Individual</t>
  </si>
  <si>
    <t>On drone</t>
  </si>
  <si>
    <t>Generic 10" Propellor</t>
  </si>
  <si>
    <t>ESP32 Control Board</t>
  </si>
  <si>
    <t>26AWG Copper Wire g/m</t>
  </si>
  <si>
    <t>Extra LEDs and Components</t>
  </si>
  <si>
    <t>Total:</t>
  </si>
  <si>
    <t>Temperature sensors</t>
  </si>
  <si>
    <t>Distance sensors</t>
  </si>
  <si>
    <t>Pi Zero</t>
  </si>
  <si>
    <t>Camera</t>
  </si>
  <si>
    <t>https://www.aliexpress.com/item/1005008364835690.html</t>
  </si>
  <si>
    <t>https://www.ebay.co.uk/itm/394044339462</t>
  </si>
  <si>
    <t>https://www.aliexpress.com/item/1005009685168148.html</t>
  </si>
  <si>
    <t>https://www.aliexpress.com/item/1005008886057978.html</t>
  </si>
  <si>
    <t>https://www.aliexpress.com/item/1005007103438736.html</t>
  </si>
  <si>
    <t>https://www.aliexpress.com/item/1005004316778924.html</t>
  </si>
  <si>
    <t>LiPo Cell</t>
  </si>
  <si>
    <t>https://www.aliexpress.com/item/1005007987338459.html</t>
  </si>
  <si>
    <t>LiPo Charger</t>
  </si>
  <si>
    <t>https://www.aliexpress.com/item/1005007458280532.html</t>
  </si>
  <si>
    <t>https://www.aliexpress.com/item/1005008725901196.html</t>
  </si>
  <si>
    <t>https://www.aliexpress.com/item/1005001407219522.html</t>
  </si>
  <si>
    <t>https://www.aliexpress.com/item/1005005181944924.html</t>
  </si>
  <si>
    <t>Arm/Disarm switch</t>
  </si>
  <si>
    <t>Buzzer switch</t>
  </si>
  <si>
    <t>LED light</t>
  </si>
  <si>
    <t>Altitude hold</t>
  </si>
  <si>
    <t>Obstacle avoidance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</si>
</sst>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458280532.html" TargetMode="External"/><Relationship Id="rId3" Type="http://schemas.openxmlformats.org/officeDocument/2006/relationships/hyperlink" Target="https://www.ebay.co.uk/itm/394044339462" TargetMode="External"/><Relationship Id="rId7" Type="http://schemas.openxmlformats.org/officeDocument/2006/relationships/hyperlink" Target="https://www.aliexpress.com/item/1005007987338459.htm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aliexpress.com/item/1005009685168148.html" TargetMode="External"/><Relationship Id="rId1" Type="http://schemas.openxmlformats.org/officeDocument/2006/relationships/hyperlink" Target="https://www.aliexpress.com/item/1005004316778924.html" TargetMode="External"/><Relationship Id="rId6" Type="http://schemas.openxmlformats.org/officeDocument/2006/relationships/hyperlink" Target="https://www.aliexpress.com/item/1005008364835690.html" TargetMode="External"/><Relationship Id="rId11" Type="http://schemas.openxmlformats.org/officeDocument/2006/relationships/hyperlink" Target="https://www.aliexpress.com/item/1005005181944924.html" TargetMode="External"/><Relationship Id="rId5" Type="http://schemas.openxmlformats.org/officeDocument/2006/relationships/hyperlink" Target="https://www.aliexpress.com/item/1005008886057978.html" TargetMode="External"/><Relationship Id="rId10" Type="http://schemas.openxmlformats.org/officeDocument/2006/relationships/hyperlink" Target="https://www.aliexpress.com/item/1005001407219522.html" TargetMode="External"/><Relationship Id="rId4" Type="http://schemas.openxmlformats.org/officeDocument/2006/relationships/hyperlink" Target="https://www.aliexpress.com/item/1005007103438736.html" TargetMode="External"/><Relationship Id="rId9" Type="http://schemas.openxmlformats.org/officeDocument/2006/relationships/hyperlink" Target="https://www.aliexpress.com/item/100500872590119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ECFB-6EF8-4007-8F24-E9B51A1B4864}">
  <dimension ref="A1:H28"/>
  <sheetViews>
    <sheetView tabSelected="1" topLeftCell="A4" workbookViewId="0">
      <selection activeCell="F7" sqref="F7"/>
    </sheetView>
  </sheetViews>
  <sheetFormatPr defaultRowHeight="15" x14ac:dyDescent="0.25"/>
  <cols>
    <col min="1" max="1" width="37.85546875" customWidth="1"/>
    <col min="2" max="2" width="11.140625" customWidth="1"/>
    <col min="5" max="5" width="54.85546875" customWidth="1"/>
  </cols>
  <sheetData>
    <row r="1" spans="1:8" x14ac:dyDescent="0.25">
      <c r="A1" t="s">
        <v>0</v>
      </c>
      <c r="B1" t="s">
        <v>10</v>
      </c>
      <c r="C1" t="s">
        <v>11</v>
      </c>
    </row>
    <row r="3" spans="1:8" x14ac:dyDescent="0.25">
      <c r="A3" t="s">
        <v>2</v>
      </c>
      <c r="B3">
        <v>48</v>
      </c>
      <c r="C3">
        <f>B3*4</f>
        <v>192</v>
      </c>
      <c r="E3" s="1" t="s">
        <v>31</v>
      </c>
    </row>
    <row r="4" spans="1:8" x14ac:dyDescent="0.25">
      <c r="A4" t="s">
        <v>3</v>
      </c>
      <c r="B4">
        <v>26</v>
      </c>
      <c r="C4">
        <f>B4*4</f>
        <v>104</v>
      </c>
      <c r="E4" s="1" t="s">
        <v>32</v>
      </c>
      <c r="H4" t="s">
        <v>34</v>
      </c>
    </row>
    <row r="5" spans="1:8" x14ac:dyDescent="0.25">
      <c r="A5" t="s">
        <v>9</v>
      </c>
      <c r="B5">
        <v>38</v>
      </c>
      <c r="C5">
        <v>38</v>
      </c>
      <c r="E5" s="1" t="s">
        <v>26</v>
      </c>
      <c r="H5" t="s">
        <v>35</v>
      </c>
    </row>
    <row r="6" spans="1:8" x14ac:dyDescent="0.25">
      <c r="A6" t="s">
        <v>13</v>
      </c>
      <c r="B6">
        <v>10</v>
      </c>
      <c r="C6">
        <v>10</v>
      </c>
      <c r="H6" t="s">
        <v>36</v>
      </c>
    </row>
    <row r="8" spans="1:8" x14ac:dyDescent="0.25">
      <c r="A8" t="s">
        <v>6</v>
      </c>
      <c r="B8">
        <v>10</v>
      </c>
      <c r="C8">
        <v>10</v>
      </c>
      <c r="E8" s="1" t="s">
        <v>23</v>
      </c>
      <c r="H8" t="s">
        <v>37</v>
      </c>
    </row>
    <row r="9" spans="1:8" x14ac:dyDescent="0.25">
      <c r="A9" t="s">
        <v>5</v>
      </c>
      <c r="B9">
        <v>10</v>
      </c>
      <c r="C9">
        <v>10</v>
      </c>
      <c r="E9" s="1" t="s">
        <v>22</v>
      </c>
      <c r="H9" t="s">
        <v>38</v>
      </c>
    </row>
    <row r="10" spans="1:8" x14ac:dyDescent="0.25">
      <c r="A10" t="s">
        <v>15</v>
      </c>
      <c r="B10">
        <v>5</v>
      </c>
      <c r="C10">
        <v>5</v>
      </c>
    </row>
    <row r="11" spans="1:8" x14ac:dyDescent="0.25">
      <c r="A11" t="s">
        <v>8</v>
      </c>
      <c r="B11">
        <v>15</v>
      </c>
      <c r="C11">
        <v>15</v>
      </c>
      <c r="E11" s="1" t="s">
        <v>25</v>
      </c>
    </row>
    <row r="12" spans="1:8" x14ac:dyDescent="0.25">
      <c r="A12" t="s">
        <v>7</v>
      </c>
      <c r="B12">
        <v>10</v>
      </c>
      <c r="C12">
        <v>10</v>
      </c>
      <c r="E12" s="1" t="s">
        <v>24</v>
      </c>
    </row>
    <row r="13" spans="1:8" x14ac:dyDescent="0.25">
      <c r="A13" t="s">
        <v>4</v>
      </c>
      <c r="B13">
        <v>28</v>
      </c>
      <c r="C13">
        <v>28</v>
      </c>
      <c r="E13" s="1" t="s">
        <v>21</v>
      </c>
    </row>
    <row r="14" spans="1:8" x14ac:dyDescent="0.25">
      <c r="A14" t="s">
        <v>14</v>
      </c>
      <c r="B14">
        <v>2.2999999999999998</v>
      </c>
      <c r="C14">
        <v>8</v>
      </c>
    </row>
    <row r="16" spans="1:8" x14ac:dyDescent="0.25">
      <c r="A16" t="s">
        <v>27</v>
      </c>
      <c r="B16">
        <v>400</v>
      </c>
      <c r="C16">
        <f>B16</f>
        <v>400</v>
      </c>
      <c r="E16" s="1" t="s">
        <v>28</v>
      </c>
    </row>
    <row r="17" spans="1:5" x14ac:dyDescent="0.25">
      <c r="A17" t="s">
        <v>29</v>
      </c>
      <c r="E17" s="1" t="s">
        <v>30</v>
      </c>
    </row>
    <row r="18" spans="1:5" x14ac:dyDescent="0.25">
      <c r="A18" t="s">
        <v>12</v>
      </c>
      <c r="B18">
        <v>8</v>
      </c>
      <c r="C18">
        <f>B18*4</f>
        <v>32</v>
      </c>
      <c r="E18" s="1" t="s">
        <v>33</v>
      </c>
    </row>
    <row r="20" spans="1:5" x14ac:dyDescent="0.25">
      <c r="A20" t="s">
        <v>1</v>
      </c>
      <c r="B20">
        <v>200</v>
      </c>
      <c r="C20">
        <f>B20</f>
        <v>200</v>
      </c>
    </row>
    <row r="21" spans="1:5" x14ac:dyDescent="0.25">
      <c r="A21" t="s">
        <v>17</v>
      </c>
    </row>
    <row r="22" spans="1:5" x14ac:dyDescent="0.25">
      <c r="A22" t="s">
        <v>18</v>
      </c>
    </row>
    <row r="23" spans="1:5" x14ac:dyDescent="0.25">
      <c r="A23" t="s">
        <v>19</v>
      </c>
    </row>
    <row r="24" spans="1:5" x14ac:dyDescent="0.25">
      <c r="A24" t="s">
        <v>20</v>
      </c>
    </row>
    <row r="28" spans="1:5" x14ac:dyDescent="0.25">
      <c r="B28" t="s">
        <v>16</v>
      </c>
      <c r="C28">
        <f>C3+C4+C5+C6+C7+C8+C9+C10+C11+C12+C13+C14+C15+C16+C17+C18+C20+C21+C22+C24+C25+C23+C26+C19</f>
        <v>1062</v>
      </c>
    </row>
  </sheetData>
  <hyperlinks>
    <hyperlink ref="E5" r:id="rId1" xr:uid="{1A66F0E6-07D8-4475-B5DC-D1D8EB07850E}"/>
    <hyperlink ref="E8" r:id="rId2" xr:uid="{BAB88F28-42F9-46B8-AB94-B120FFAE52F8}"/>
    <hyperlink ref="E9" r:id="rId3" xr:uid="{1E26687A-F1E2-41EE-84E4-C9D6F8AE1AA4}"/>
    <hyperlink ref="E11" r:id="rId4" xr:uid="{AA185CCA-7C77-43C0-AA72-D64031B6832B}"/>
    <hyperlink ref="E12" r:id="rId5" xr:uid="{56A1AC01-DF9E-43A3-B898-9ED13EF16BB3}"/>
    <hyperlink ref="E13" r:id="rId6" xr:uid="{63546C9C-4E16-4D5E-95C7-2363C5442F97}"/>
    <hyperlink ref="E16" r:id="rId7" xr:uid="{4DDAEEBE-1521-485D-82BA-686317F23354}"/>
    <hyperlink ref="E17" r:id="rId8" xr:uid="{217D8F6F-2379-4AE3-9EBF-AA57390454B3}"/>
    <hyperlink ref="E3" r:id="rId9" xr:uid="{DEFB5E57-A30A-4067-9A6B-089D87620B8C}"/>
    <hyperlink ref="E4" r:id="rId10" xr:uid="{FD9C30B0-93A5-48D8-9859-7B338799954F}"/>
    <hyperlink ref="E18" r:id="rId11" xr:uid="{B8531310-AE54-418F-9BEC-18567B387FD1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B</dc:creator>
  <cp:lastModifiedBy>Eduard B</cp:lastModifiedBy>
  <dcterms:created xsi:type="dcterms:W3CDTF">2025-08-25T20:07:51Z</dcterms:created>
  <dcterms:modified xsi:type="dcterms:W3CDTF">2025-10-02T17:14:39Z</dcterms:modified>
</cp:coreProperties>
</file>